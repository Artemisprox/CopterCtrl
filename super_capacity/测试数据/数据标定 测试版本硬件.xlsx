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_testFolder\RT-Thread\rt-thread-4.0.2\bsp\RM_STM32\RM2021EC\测试数据\"/>
    </mc:Choice>
  </mc:AlternateContent>
  <xr:revisionPtr revIDLastSave="0" documentId="13_ncr:1_{D4770A0C-1A8B-4299-A491-160702A12FC2}" xr6:coauthVersionLast="45" xr6:coauthVersionMax="45" xr10:uidLastSave="{00000000-0000-0000-0000-000000000000}"/>
  <bookViews>
    <workbookView xWindow="-28920" yWindow="-120" windowWidth="29040" windowHeight="15990" activeTab="4" xr2:uid="{9D9DBC5B-4A68-425C-9F92-72B49EDF1536}"/>
  </bookViews>
  <sheets>
    <sheet name="DAC电压标定" sheetId="1" r:id="rId1"/>
    <sheet name="充电模块DAC电流设定标定" sheetId="2" r:id="rId2"/>
    <sheet name="I_IN标定" sheetId="3" r:id="rId3"/>
    <sheet name="V_IN标定" sheetId="4" r:id="rId4"/>
    <sheet name="V_CAP标定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3" i="1"/>
</calcChain>
</file>

<file path=xl/sharedStrings.xml><?xml version="1.0" encoding="utf-8"?>
<sst xmlns="http://schemas.openxmlformats.org/spreadsheetml/2006/main" count="11" uniqueCount="9">
  <si>
    <t>dac设定值</t>
    <phoneticPr fontId="1" type="noConversion"/>
  </si>
  <si>
    <t>dac实际值</t>
    <phoneticPr fontId="1" type="noConversion"/>
  </si>
  <si>
    <t>实际电流</t>
    <phoneticPr fontId="1" type="noConversion"/>
  </si>
  <si>
    <t>I_IN实际值</t>
    <phoneticPr fontId="1" type="noConversion"/>
  </si>
  <si>
    <t>I_IN程序值</t>
    <phoneticPr fontId="1" type="noConversion"/>
  </si>
  <si>
    <t>V_CAP实际值</t>
    <phoneticPr fontId="1" type="noConversion"/>
  </si>
  <si>
    <t>V_CAP程序值</t>
    <phoneticPr fontId="1" type="noConversion"/>
  </si>
  <si>
    <t>V_IN实际值</t>
    <phoneticPr fontId="1" type="noConversion"/>
  </si>
  <si>
    <t>V_IN程序值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</si>
</sst>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DAC电压标定!$C$2</c:f>
              <c:strCache>
                <c:ptCount val="1"/>
                <c:pt idx="0">
                  <c:v>dac实际值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DAC电压标定!$B$3:$B$5</c:f>
              <c:numCache>
                <c:formatCode>General</c:formatCode>
                <c:ptCount val="3"/>
                <c:pt idx="0">
                  <c:v>7.6013513513513514E-2</c:v>
                </c:pt>
                <c:pt idx="1">
                  <c:v>0.15202702702702703</c:v>
                </c:pt>
                <c:pt idx="2">
                  <c:v>0.20270270270270271</c:v>
                </c:pt>
              </c:numCache>
            </c:numRef>
          </c:xVal>
          <c:yVal>
            <c:numRef>
              <c:f>DAC电压标定!$C$3:$C$5</c:f>
              <c:numCache>
                <c:formatCode>General</c:formatCode>
                <c:ptCount val="3"/>
                <c:pt idx="0">
                  <c:v>7.6999999999999999E-2</c:v>
                </c:pt>
                <c:pt idx="1">
                  <c:v>0.15</c:v>
                </c:pt>
                <c:pt idx="2">
                  <c:v>0.19900000000000001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4-4078-BB91-AA3BE5A0B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836968"/>
        <c:axId val="490838280"/>
      </c:scatterChart>
      <c:valAx>
        <c:axId val="490836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38280"/>
        <c:crosses val="autoZero"/>
        <c:crossBetween val="midCat"/>
      </c:valAx>
      <c:valAx>
        <c:axId val="49083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36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充电模块DAC电流设定标定!$C$2</c:f>
              <c:strCache>
                <c:ptCount val="1"/>
                <c:pt idx="0">
                  <c:v>实际电流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充电模块DAC电流设定标定!$B$3:$B$6</c:f>
              <c:numCache>
                <c:formatCode>General</c:formatCode>
                <c:ptCount val="4"/>
                <c:pt idx="0">
                  <c:v>7.0999999999999994E-2</c:v>
                </c:pt>
                <c:pt idx="1">
                  <c:v>7.6999999999999999E-2</c:v>
                </c:pt>
                <c:pt idx="2">
                  <c:v>0.15</c:v>
                </c:pt>
                <c:pt idx="3">
                  <c:v>0.19900000000000001</c:v>
                </c:pt>
              </c:numCache>
            </c:numRef>
          </c:xVal>
          <c:yVal>
            <c:numRef>
              <c:f>充电模块DAC电流设定标定!$C$3:$C$6</c:f>
              <c:numCache>
                <c:formatCode>General</c:formatCode>
                <c:ptCount val="4"/>
                <c:pt idx="0">
                  <c:v>1.24</c:v>
                </c:pt>
                <c:pt idx="1">
                  <c:v>1.32</c:v>
                </c:pt>
                <c:pt idx="2">
                  <c:v>2.48</c:v>
                </c:pt>
                <c:pt idx="3">
                  <c:v>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C-4BC4-9162-9EBB9E308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06520"/>
        <c:axId val="614706848"/>
      </c:scatterChart>
      <c:valAx>
        <c:axId val="61470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706848"/>
        <c:crosses val="autoZero"/>
        <c:crossBetween val="midCat"/>
      </c:valAx>
      <c:valAx>
        <c:axId val="6147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70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I_IN标定!$C$2</c:f>
              <c:strCache>
                <c:ptCount val="1"/>
                <c:pt idx="0">
                  <c:v>I_IN程序值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I_IN标定!$B$3:$B$9</c:f>
              <c:numCache>
                <c:formatCode>General</c:formatCode>
                <c:ptCount val="7"/>
                <c:pt idx="0">
                  <c:v>0.36</c:v>
                </c:pt>
                <c:pt idx="1">
                  <c:v>0.4</c:v>
                </c:pt>
                <c:pt idx="2">
                  <c:v>0.59</c:v>
                </c:pt>
                <c:pt idx="3">
                  <c:v>1</c:v>
                </c:pt>
                <c:pt idx="4">
                  <c:v>2.17</c:v>
                </c:pt>
                <c:pt idx="5">
                  <c:v>3.79</c:v>
                </c:pt>
              </c:numCache>
            </c:numRef>
          </c:xVal>
          <c:yVal>
            <c:numRef>
              <c:f>I_IN标定!$C$3:$C$9</c:f>
              <c:numCache>
                <c:formatCode>General</c:formatCode>
                <c:ptCount val="7"/>
                <c:pt idx="0">
                  <c:v>0.22</c:v>
                </c:pt>
                <c:pt idx="1">
                  <c:v>0.26</c:v>
                </c:pt>
                <c:pt idx="2">
                  <c:v>0.44</c:v>
                </c:pt>
                <c:pt idx="3">
                  <c:v>0.85</c:v>
                </c:pt>
                <c:pt idx="4">
                  <c:v>2.0099999999999998</c:v>
                </c:pt>
                <c:pt idx="5">
                  <c:v>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9-4ACE-87EC-2A805E5DC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859944"/>
        <c:axId val="490856664"/>
      </c:scatterChart>
      <c:valAx>
        <c:axId val="49085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56664"/>
        <c:crosses val="autoZero"/>
        <c:crossBetween val="midCat"/>
      </c:valAx>
      <c:valAx>
        <c:axId val="49085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5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V_IN标定!$C$2</c:f>
              <c:strCache>
                <c:ptCount val="1"/>
                <c:pt idx="0">
                  <c:v>V_IN程序值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1097987751531063E-3"/>
                  <c:y val="-0.138727034120734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V_IN标定!$B$3:$B$6</c:f>
              <c:numCache>
                <c:formatCode>General</c:formatCode>
                <c:ptCount val="4"/>
                <c:pt idx="0">
                  <c:v>22.4</c:v>
                </c:pt>
                <c:pt idx="1">
                  <c:v>23.3</c:v>
                </c:pt>
                <c:pt idx="2">
                  <c:v>23.5</c:v>
                </c:pt>
                <c:pt idx="3">
                  <c:v>23.9</c:v>
                </c:pt>
              </c:numCache>
            </c:numRef>
          </c:xVal>
          <c:yVal>
            <c:numRef>
              <c:f>V_IN标定!$C$3:$C$6</c:f>
              <c:numCache>
                <c:formatCode>General</c:formatCode>
                <c:ptCount val="4"/>
                <c:pt idx="0">
                  <c:v>21.2</c:v>
                </c:pt>
                <c:pt idx="1">
                  <c:v>22.02</c:v>
                </c:pt>
                <c:pt idx="2">
                  <c:v>22.16</c:v>
                </c:pt>
                <c:pt idx="3">
                  <c:v>22.49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85-4107-B112-9B6835DDC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338488"/>
        <c:axId val="699337176"/>
      </c:scatterChart>
      <c:valAx>
        <c:axId val="69933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337176"/>
        <c:crosses val="autoZero"/>
        <c:crossBetween val="midCat"/>
      </c:valAx>
      <c:valAx>
        <c:axId val="69933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338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V_CAP标定!$C$2</c:f>
              <c:strCache>
                <c:ptCount val="1"/>
                <c:pt idx="0">
                  <c:v>V_CAP程序值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backward val="8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V_CAP标定!$B$3:$B$7</c:f>
              <c:numCache>
                <c:formatCode>General</c:formatCode>
                <c:ptCount val="5"/>
                <c:pt idx="0">
                  <c:v>25.2</c:v>
                </c:pt>
                <c:pt idx="1">
                  <c:v>14.86</c:v>
                </c:pt>
                <c:pt idx="2">
                  <c:v>7.41</c:v>
                </c:pt>
              </c:numCache>
            </c:numRef>
          </c:xVal>
          <c:yVal>
            <c:numRef>
              <c:f>V_CAP标定!$C$3:$C$7</c:f>
              <c:numCache>
                <c:formatCode>General</c:formatCode>
                <c:ptCount val="5"/>
                <c:pt idx="0">
                  <c:v>23.93</c:v>
                </c:pt>
                <c:pt idx="1">
                  <c:v>13.74</c:v>
                </c:pt>
                <c:pt idx="2">
                  <c:v>6.29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F-4AFF-9DAA-60CEF973D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31944"/>
        <c:axId val="616334568"/>
      </c:scatterChart>
      <c:valAx>
        <c:axId val="61633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334568"/>
        <c:crosses val="autoZero"/>
        <c:crossBetween val="midCat"/>
      </c:valAx>
      <c:valAx>
        <c:axId val="61633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33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160421</xdr:colOff>
      <xdr:row>0</xdr:row>
      <xdr:rowOff>0</xdr:rowOff>
    </xdr:from>
    <xdr:to>
      <xdr:col>9</xdr:col>
      <xdr:colOff>486277</xdr:colOff>
      <xdr:row>14</xdr:row>
      <xdr:rowOff>81736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A9595C-694C-4137-A9EB-F28428F23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147204</xdr:colOff>
      <xdr:row>0</xdr:row>
      <xdr:rowOff>0</xdr:rowOff>
    </xdr:from>
    <xdr:to>
      <xdr:col>7</xdr:col>
      <xdr:colOff>619124</xdr:colOff>
      <xdr:row>12</xdr:row>
      <xdr:rowOff>43297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A2C955-0A53-4906-B66D-7E4942E6D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146957</xdr:colOff>
      <xdr:row>0</xdr:row>
      <xdr:rowOff>0</xdr:rowOff>
    </xdr:from>
    <xdr:to>
      <xdr:col>10</xdr:col>
      <xdr:colOff>119743</xdr:colOff>
      <xdr:row>15</xdr:row>
      <xdr:rowOff>125185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15F58A6-3C26-446E-826D-E93DAA9E3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195942</xdr:colOff>
      <xdr:row>0</xdr:row>
      <xdr:rowOff>0</xdr:rowOff>
    </xdr:from>
    <xdr:to>
      <xdr:col>9</xdr:col>
      <xdr:colOff>653142</xdr:colOff>
      <xdr:row>15</xdr:row>
      <xdr:rowOff>48986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9C6307-2D8F-4C1F-AEE7-100E85AFA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337457</xdr:colOff>
      <xdr:row>0</xdr:row>
      <xdr:rowOff>0</xdr:rowOff>
    </xdr:from>
    <xdr:to>
      <xdr:col>11</xdr:col>
      <xdr:colOff>54429</xdr:colOff>
      <xdr:row>18</xdr:row>
      <xdr:rowOff>43543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0AC13C5-2689-42A1-8D11-D340B4251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4DA0-E1D8-4231-9D1D-C1379F52C19D}">
  <dimension ref="A2:D5"/>
  <sheetViews>
    <sheetView zoomScale="190" zoomScaleNormal="190" workbookViewId="0">
      <selection activeCell="D8" sqref="D8"/>
    </sheetView>
  </sheetViews>
  <sheetFormatPr defaultRowHeight="14.25" x14ac:dyDescent="0.2"/>
  <sheetData>
    <row r="2" spans="1:4" x14ac:dyDescent="0.2">
      <c r="B2" t="s">
        <v>0</v>
      </c>
      <c r="C2" t="s">
        <v>1</v>
      </c>
      <c r="D2" t="s">
        <v>2</v>
      </c>
    </row>
    <row r="3" spans="1:4" x14ac:dyDescent="0.2">
      <c r="A3">
        <v>7.4999999999999997E-2</v>
      </c>
      <c r="B3">
        <f>A3*0.15/0.148</f>
        <v>7.6013513513513514E-2</v>
      </c>
      <c r="C3">
        <v>7.6999999999999999E-2</v>
      </c>
      <c r="D3">
        <v>1.32</v>
      </c>
    </row>
    <row r="4" spans="1:4" x14ac:dyDescent="0.2">
      <c r="A4">
        <v>0.15</v>
      </c>
      <c r="B4">
        <f t="shared" ref="B4:B5" si="0">A4*0.15/0.148</f>
        <v>0.15202702702702703</v>
      </c>
      <c r="C4">
        <v>0.15</v>
      </c>
      <c r="D4">
        <v>2.48</v>
      </c>
    </row>
    <row r="5" spans="1:4" x14ac:dyDescent="0.2">
      <c r="A5">
        <v>0.2</v>
      </c>
      <c r="B5">
        <f t="shared" si="0"/>
        <v>0.20270270270270271</v>
      </c>
      <c r="C5">
        <v>0.19900000000000001</v>
      </c>
      <c r="D5">
        <v>3.24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90ED-EF7A-4897-BE4F-5C24BBD86286}">
  <dimension ref="B2:C6"/>
  <sheetViews>
    <sheetView zoomScale="220" zoomScaleNormal="220" workbookViewId="0">
      <selection activeCell="C9" sqref="C9"/>
    </sheetView>
  </sheetViews>
  <sheetFormatPr defaultRowHeight="14.25" x14ac:dyDescent="0.2"/>
  <sheetData>
    <row r="2" spans="2:3" x14ac:dyDescent="0.2">
      <c r="B2" t="s">
        <v>1</v>
      </c>
      <c r="C2" t="s">
        <v>2</v>
      </c>
    </row>
    <row r="3" spans="2:3" x14ac:dyDescent="0.2">
      <c r="B3">
        <v>7.0999999999999994E-2</v>
      </c>
      <c r="C3">
        <v>1.24</v>
      </c>
    </row>
    <row r="4" spans="2:3" x14ac:dyDescent="0.2">
      <c r="B4">
        <v>7.6999999999999999E-2</v>
      </c>
      <c r="C4">
        <v>1.32</v>
      </c>
    </row>
    <row r="5" spans="2:3" x14ac:dyDescent="0.2">
      <c r="B5">
        <v>0.15</v>
      </c>
      <c r="C5">
        <v>2.48</v>
      </c>
    </row>
    <row r="6" spans="2:3" x14ac:dyDescent="0.2">
      <c r="B6">
        <v>0.19900000000000001</v>
      </c>
      <c r="C6">
        <v>3.24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57CF-7E40-4C4B-A2FB-36D86EB7AF0C}">
  <dimension ref="B2:C8"/>
  <sheetViews>
    <sheetView zoomScale="175" zoomScaleNormal="175" workbookViewId="0">
      <selection activeCell="C12" sqref="C12"/>
    </sheetView>
  </sheetViews>
  <sheetFormatPr defaultRowHeight="14.25" x14ac:dyDescent="0.2"/>
  <cols>
    <col min="2" max="3" width="10.25" bestFit="1" customWidth="1"/>
  </cols>
  <sheetData>
    <row r="2" spans="2:3" x14ac:dyDescent="0.2">
      <c r="B2" t="s">
        <v>3</v>
      </c>
      <c r="C2" t="s">
        <v>4</v>
      </c>
    </row>
    <row r="3" spans="2:3" x14ac:dyDescent="0.2">
      <c r="B3">
        <v>0.36</v>
      </c>
      <c r="C3">
        <v>0.22</v>
      </c>
    </row>
    <row r="4" spans="2:3" x14ac:dyDescent="0.2">
      <c r="B4">
        <v>0.4</v>
      </c>
      <c r="C4">
        <v>0.26</v>
      </c>
    </row>
    <row r="5" spans="2:3" x14ac:dyDescent="0.2">
      <c r="B5">
        <v>0.59</v>
      </c>
      <c r="C5">
        <v>0.44</v>
      </c>
    </row>
    <row r="6" spans="2:3" x14ac:dyDescent="0.2">
      <c r="B6">
        <v>1</v>
      </c>
      <c r="C6">
        <v>0.85</v>
      </c>
    </row>
    <row r="7" spans="2:3" x14ac:dyDescent="0.2">
      <c r="B7">
        <v>2.17</v>
      </c>
      <c r="C7">
        <v>2.0099999999999998</v>
      </c>
    </row>
    <row r="8" spans="2:3" x14ac:dyDescent="0.2">
      <c r="B8">
        <v>3.79</v>
      </c>
      <c r="C8">
        <v>3.61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708C-D311-4F94-8B6E-8B65CA91A526}">
  <dimension ref="B2:C6"/>
  <sheetViews>
    <sheetView zoomScale="175" zoomScaleNormal="175" workbookViewId="0">
      <selection activeCell="C13" sqref="C13"/>
    </sheetView>
  </sheetViews>
  <sheetFormatPr defaultRowHeight="14.25" x14ac:dyDescent="0.2"/>
  <cols>
    <col min="2" max="3" width="11" bestFit="1" customWidth="1"/>
  </cols>
  <sheetData>
    <row r="2" spans="2:3" x14ac:dyDescent="0.2">
      <c r="B2" t="s">
        <v>7</v>
      </c>
      <c r="C2" t="s">
        <v>8</v>
      </c>
    </row>
    <row r="3" spans="2:3" x14ac:dyDescent="0.2">
      <c r="B3">
        <v>22.4</v>
      </c>
      <c r="C3">
        <v>21.2</v>
      </c>
    </row>
    <row r="4" spans="2:3" x14ac:dyDescent="0.2">
      <c r="B4">
        <v>23.3</v>
      </c>
      <c r="C4">
        <v>22.02</v>
      </c>
    </row>
    <row r="5" spans="2:3" x14ac:dyDescent="0.2">
      <c r="B5">
        <v>23.5</v>
      </c>
      <c r="C5">
        <v>22.16</v>
      </c>
    </row>
    <row r="6" spans="2:3" x14ac:dyDescent="0.2">
      <c r="B6">
        <v>23.9</v>
      </c>
      <c r="C6">
        <v>22.49</v>
      </c>
    </row>
  </sheetData>
  <sortState xmlns:xlrd2="http://schemas.microsoft.com/office/spreadsheetml/2017/richdata2" ref="B3:C6">
    <sortCondition ref="B3:B6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0C1F-1E11-4054-AA59-B277C56DC20A}">
  <dimension ref="B2:C5"/>
  <sheetViews>
    <sheetView tabSelected="1" zoomScale="175" zoomScaleNormal="175" workbookViewId="0">
      <selection activeCell="J21" sqref="J21"/>
    </sheetView>
  </sheetViews>
  <sheetFormatPr defaultRowHeight="14.25" x14ac:dyDescent="0.2"/>
  <cols>
    <col min="2" max="3" width="12.625" bestFit="1" customWidth="1"/>
  </cols>
  <sheetData>
    <row r="2" spans="2:3" x14ac:dyDescent="0.2">
      <c r="B2" t="s">
        <v>5</v>
      </c>
      <c r="C2" t="s">
        <v>6</v>
      </c>
    </row>
    <row r="3" spans="2:3" x14ac:dyDescent="0.2">
      <c r="B3">
        <v>25.2</v>
      </c>
      <c r="C3">
        <v>23.93</v>
      </c>
    </row>
    <row r="4" spans="2:3" x14ac:dyDescent="0.2">
      <c r="B4">
        <v>14.86</v>
      </c>
      <c r="C4">
        <v>13.74</v>
      </c>
    </row>
    <row r="5" spans="2:3" x14ac:dyDescent="0.2">
      <c r="B5">
        <v>7.41</v>
      </c>
      <c r="C5">
        <v>6.29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DAC电压标定</vt:lpstr>
      <vt:lpstr>充电模块DAC电流设定标定</vt:lpstr>
      <vt:lpstr>I_IN标定</vt:lpstr>
      <vt:lpstr>V_IN标定</vt:lpstr>
      <vt:lpstr>V_CAP标定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2020-12-05T06:09:55Z</dcterms:created>
  <dcterms:modified xsi:type="dcterms:W3CDTF">2020-12-05T09:05:08Z</dcterms:modified>
</cp:coreProperties>
</file>