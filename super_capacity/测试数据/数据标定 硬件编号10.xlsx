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_testFolder\RT-Thread\rt-thread-4.0.2\bsp\RM_STM32\RM2021EC\测试数据\"/>
    </mc:Choice>
  </mc:AlternateContent>
  <xr:revisionPtr revIDLastSave="0" documentId="13_ncr:1_{47CDB3F2-B841-469A-82B2-BE1D3C61385C}" xr6:coauthVersionLast="46" xr6:coauthVersionMax="46" xr10:uidLastSave="{00000000-0000-0000-0000-000000000000}"/>
  <bookViews>
    <workbookView xWindow="-28920" yWindow="15675" windowWidth="29040" windowHeight="15990" activeTab="1" xr2:uid="{9D9DBC5B-4A68-425C-9F92-72B49EDF1536}"/>
  </bookViews>
  <sheets>
    <sheet name="DAC电压标定" sheetId="1" r:id="rId1"/>
    <sheet name="充电模块DAC电流设定标定" sheetId="2" r:id="rId2"/>
    <sheet name="I_IN标定" sheetId="3" r:id="rId3"/>
    <sheet name="V_IN标定" sheetId="4" r:id="rId4"/>
    <sheet name="V_CAP标定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B6" i="2"/>
  <c r="B4" i="2"/>
  <c r="B7" i="2"/>
  <c r="B8" i="2"/>
  <c r="B9" i="2"/>
  <c r="B10" i="2"/>
</calcChain>
</file>

<file path=xl/sharedStrings.xml><?xml version="1.0" encoding="utf-8"?>
<sst xmlns="http://schemas.openxmlformats.org/spreadsheetml/2006/main" count="10" uniqueCount="9">
  <si>
    <t>dac设定值</t>
    <phoneticPr fontId="1" type="noConversion"/>
  </si>
  <si>
    <t>dac实际值</t>
    <phoneticPr fontId="1" type="noConversion"/>
  </si>
  <si>
    <t>实际电流</t>
    <phoneticPr fontId="1" type="noConversion"/>
  </si>
  <si>
    <t>I_IN实际值</t>
    <phoneticPr fontId="1" type="noConversion"/>
  </si>
  <si>
    <t>I_IN程序值</t>
    <phoneticPr fontId="1" type="noConversion"/>
  </si>
  <si>
    <t>V_CAP实际值</t>
    <phoneticPr fontId="1" type="noConversion"/>
  </si>
  <si>
    <t>V_CAP程序值</t>
    <phoneticPr fontId="1" type="noConversion"/>
  </si>
  <si>
    <t>V_IN实际值</t>
    <phoneticPr fontId="1" type="noConversion"/>
  </si>
  <si>
    <t>V_IN程序值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</si>
</sst>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DAC电压标定!$C$2</c:f>
              <c:strCache>
                <c:ptCount val="1"/>
                <c:pt idx="0">
                  <c:v>dac实际值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DAC电压标定!$B$3:$B$22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DAC电压标定!$C$3:$C$22</c:f>
              <c:numCache>
                <c:formatCode>General</c:formatCode>
                <c:ptCount val="20"/>
                <c:pt idx="0">
                  <c:v>0.1</c:v>
                </c:pt>
                <c:pt idx="1">
                  <c:v>0.19900000000000001</c:v>
                </c:pt>
                <c:pt idx="2">
                  <c:v>0.29899999999999999</c:v>
                </c:pt>
                <c:pt idx="3">
                  <c:v>0.39800000000000002</c:v>
                </c:pt>
                <c:pt idx="4">
                  <c:v>0.498</c:v>
                </c:pt>
                <c:pt idx="5">
                  <c:v>0.59750000000000003</c:v>
                </c:pt>
                <c:pt idx="6">
                  <c:v>0.69699999999999995</c:v>
                </c:pt>
                <c:pt idx="7">
                  <c:v>0.79400000000000004</c:v>
                </c:pt>
                <c:pt idx="8">
                  <c:v>0.89100000000000001</c:v>
                </c:pt>
                <c:pt idx="14">
                  <c:v>1.472</c:v>
                </c:pt>
                <c:pt idx="15">
                  <c:v>1.569</c:v>
                </c:pt>
                <c:pt idx="16">
                  <c:v>1.6659999999999999</c:v>
                </c:pt>
                <c:pt idx="17">
                  <c:v>1.762</c:v>
                </c:pt>
                <c:pt idx="18">
                  <c:v>1.859</c:v>
                </c:pt>
                <c:pt idx="19">
                  <c:v>1.956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4-4078-BB91-AA3BE5A0B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836968"/>
        <c:axId val="490838280"/>
      </c:scatterChart>
      <c:valAx>
        <c:axId val="490836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838280"/>
        <c:crosses val="autoZero"/>
        <c:crossBetween val="midCat"/>
      </c:valAx>
      <c:valAx>
        <c:axId val="49083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836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充电模块DAC电流设定标定!$C$2</c:f>
              <c:strCache>
                <c:ptCount val="1"/>
                <c:pt idx="0">
                  <c:v>实际电流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充电模块DAC电流设定标定!$B$3:$B$18</c:f>
              <c:numCache>
                <c:formatCode>General</c:formatCode>
                <c:ptCount val="16"/>
                <c:pt idx="0">
                  <c:v>0.1</c:v>
                </c:pt>
                <c:pt idx="1">
                  <c:v>0.1258</c:v>
                </c:pt>
                <c:pt idx="2">
                  <c:v>0.15504999999999999</c:v>
                </c:pt>
                <c:pt idx="3">
                  <c:v>0.18429999999999999</c:v>
                </c:pt>
                <c:pt idx="4">
                  <c:v>0.20380000000000001</c:v>
                </c:pt>
                <c:pt idx="5">
                  <c:v>0.23305000000000001</c:v>
                </c:pt>
                <c:pt idx="6">
                  <c:v>0.26229999999999998</c:v>
                </c:pt>
                <c:pt idx="7">
                  <c:v>0.30129999999999996</c:v>
                </c:pt>
              </c:numCache>
            </c:numRef>
          </c:xVal>
          <c:yVal>
            <c:numRef>
              <c:f>充电模块DAC电流设定标定!$C$3:$C$18</c:f>
              <c:numCache>
                <c:formatCode>General</c:formatCode>
                <c:ptCount val="16"/>
                <c:pt idx="0">
                  <c:v>1.03</c:v>
                </c:pt>
                <c:pt idx="1">
                  <c:v>1.37</c:v>
                </c:pt>
                <c:pt idx="2">
                  <c:v>1.86</c:v>
                </c:pt>
                <c:pt idx="3">
                  <c:v>2.36</c:v>
                </c:pt>
                <c:pt idx="4">
                  <c:v>2.69</c:v>
                </c:pt>
                <c:pt idx="5">
                  <c:v>3.15</c:v>
                </c:pt>
                <c:pt idx="6">
                  <c:v>3.62</c:v>
                </c:pt>
                <c:pt idx="7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C-4BC4-9162-9EBB9E308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706520"/>
        <c:axId val="614706848"/>
      </c:scatterChart>
      <c:valAx>
        <c:axId val="61470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4706848"/>
        <c:crosses val="autoZero"/>
        <c:crossBetween val="midCat"/>
      </c:valAx>
      <c:valAx>
        <c:axId val="61470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4706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I_IN标定!$C$2</c:f>
              <c:strCache>
                <c:ptCount val="1"/>
                <c:pt idx="0">
                  <c:v>I_IN程序值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I_IN标定!$B$3:$B$8</c:f>
              <c:numCache>
                <c:formatCode>General</c:formatCode>
                <c:ptCount val="6"/>
                <c:pt idx="0">
                  <c:v>0.873</c:v>
                </c:pt>
                <c:pt idx="1">
                  <c:v>1.831</c:v>
                </c:pt>
                <c:pt idx="2">
                  <c:v>2.577</c:v>
                </c:pt>
                <c:pt idx="3">
                  <c:v>2.96</c:v>
                </c:pt>
                <c:pt idx="4">
                  <c:v>3.6509999999999998</c:v>
                </c:pt>
              </c:numCache>
            </c:numRef>
          </c:xVal>
          <c:yVal>
            <c:numRef>
              <c:f>I_IN标定!$C$3:$C$8</c:f>
              <c:numCache>
                <c:formatCode>General</c:formatCode>
                <c:ptCount val="6"/>
                <c:pt idx="0">
                  <c:v>0.77</c:v>
                </c:pt>
                <c:pt idx="1">
                  <c:v>1.72</c:v>
                </c:pt>
                <c:pt idx="2">
                  <c:v>2.46</c:v>
                </c:pt>
                <c:pt idx="3">
                  <c:v>2.84</c:v>
                </c:pt>
                <c:pt idx="4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9-4ACE-87EC-2A805E5DC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859944"/>
        <c:axId val="490856664"/>
      </c:scatterChart>
      <c:valAx>
        <c:axId val="49085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856664"/>
        <c:crosses val="autoZero"/>
        <c:crossBetween val="midCat"/>
      </c:valAx>
      <c:valAx>
        <c:axId val="49085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859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V_IN标定!$C$2</c:f>
              <c:strCache>
                <c:ptCount val="1"/>
                <c:pt idx="0">
                  <c:v>V_IN程序值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1097987751531063E-3"/>
                  <c:y val="-0.138727034120734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V_IN标定!$B$3:$B$14</c:f>
              <c:numCache>
                <c:formatCode>General</c:formatCode>
                <c:ptCount val="12"/>
                <c:pt idx="0">
                  <c:v>26</c:v>
                </c:pt>
                <c:pt idx="1">
                  <c:v>25.9</c:v>
                </c:pt>
                <c:pt idx="2">
                  <c:v>25.6</c:v>
                </c:pt>
                <c:pt idx="3">
                  <c:v>25</c:v>
                </c:pt>
                <c:pt idx="4">
                  <c:v>24.5</c:v>
                </c:pt>
                <c:pt idx="5">
                  <c:v>24</c:v>
                </c:pt>
                <c:pt idx="6">
                  <c:v>23.5</c:v>
                </c:pt>
                <c:pt idx="7">
                  <c:v>23</c:v>
                </c:pt>
                <c:pt idx="8">
                  <c:v>22.5</c:v>
                </c:pt>
              </c:numCache>
            </c:numRef>
          </c:xVal>
          <c:yVal>
            <c:numRef>
              <c:f>V_IN标定!$C$3:$C$14</c:f>
              <c:numCache>
                <c:formatCode>General</c:formatCode>
                <c:ptCount val="12"/>
                <c:pt idx="0">
                  <c:v>23.31</c:v>
                </c:pt>
                <c:pt idx="1">
                  <c:v>23.25</c:v>
                </c:pt>
                <c:pt idx="2">
                  <c:v>23.07</c:v>
                </c:pt>
                <c:pt idx="3">
                  <c:v>22.7</c:v>
                </c:pt>
                <c:pt idx="4">
                  <c:v>22.38</c:v>
                </c:pt>
                <c:pt idx="5">
                  <c:v>22.05</c:v>
                </c:pt>
                <c:pt idx="6">
                  <c:v>21.71</c:v>
                </c:pt>
                <c:pt idx="7">
                  <c:v>21.35</c:v>
                </c:pt>
                <c:pt idx="8">
                  <c:v>20.99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85-4107-B112-9B6835DDC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338488"/>
        <c:axId val="699337176"/>
      </c:scatterChart>
      <c:valAx>
        <c:axId val="69933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9337176"/>
        <c:crosses val="autoZero"/>
        <c:crossBetween val="midCat"/>
      </c:valAx>
      <c:valAx>
        <c:axId val="69933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9338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V_CAP标定!$C$2</c:f>
              <c:strCache>
                <c:ptCount val="1"/>
                <c:pt idx="0">
                  <c:v>V_CAP程序值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backward val="8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V_CAP标定!$B$3:$B$16</c:f>
              <c:numCache>
                <c:formatCode>General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</c:numCache>
            </c:numRef>
          </c:xVal>
          <c:yVal>
            <c:numRef>
              <c:f>V_CAP标定!$C$3:$C$16</c:f>
              <c:numCache>
                <c:formatCode>General</c:formatCode>
                <c:ptCount val="14"/>
                <c:pt idx="0">
                  <c:v>1.51</c:v>
                </c:pt>
                <c:pt idx="1">
                  <c:v>3.45</c:v>
                </c:pt>
                <c:pt idx="2">
                  <c:v>5.39</c:v>
                </c:pt>
                <c:pt idx="3">
                  <c:v>7.32</c:v>
                </c:pt>
                <c:pt idx="4">
                  <c:v>9.25</c:v>
                </c:pt>
                <c:pt idx="5">
                  <c:v>11.18</c:v>
                </c:pt>
                <c:pt idx="6">
                  <c:v>13.1</c:v>
                </c:pt>
                <c:pt idx="7">
                  <c:v>15.01</c:v>
                </c:pt>
                <c:pt idx="8">
                  <c:v>16.899999999999999</c:v>
                </c:pt>
                <c:pt idx="9">
                  <c:v>18.809999999999999</c:v>
                </c:pt>
                <c:pt idx="10">
                  <c:v>20.69</c:v>
                </c:pt>
                <c:pt idx="11">
                  <c:v>22.57</c:v>
                </c:pt>
                <c:pt idx="12">
                  <c:v>24.42</c:v>
                </c:pt>
                <c:pt idx="13">
                  <c:v>26.26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F-4AFF-9DAA-60CEF973D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331944"/>
        <c:axId val="616334568"/>
      </c:scatterChart>
      <c:valAx>
        <c:axId val="61633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6334568"/>
        <c:crosses val="autoZero"/>
        <c:crossBetween val="midCat"/>
      </c:valAx>
      <c:valAx>
        <c:axId val="61633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6331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160421</xdr:colOff>
      <xdr:row>0</xdr:row>
      <xdr:rowOff>0</xdr:rowOff>
    </xdr:from>
    <xdr:to>
      <xdr:col>9</xdr:col>
      <xdr:colOff>486277</xdr:colOff>
      <xdr:row>14</xdr:row>
      <xdr:rowOff>81736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A9595C-694C-4137-A9EB-F28428F23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147204</xdr:colOff>
      <xdr:row>0</xdr:row>
      <xdr:rowOff>0</xdr:rowOff>
    </xdr:from>
    <xdr:to>
      <xdr:col>11</xdr:col>
      <xdr:colOff>311727</xdr:colOff>
      <xdr:row>17</xdr:row>
      <xdr:rowOff>99579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BA2C955-0A53-4906-B66D-7E4942E6D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146957</xdr:colOff>
      <xdr:row>0</xdr:row>
      <xdr:rowOff>0</xdr:rowOff>
    </xdr:from>
    <xdr:to>
      <xdr:col>10</xdr:col>
      <xdr:colOff>119743</xdr:colOff>
      <xdr:row>15</xdr:row>
      <xdr:rowOff>125185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15F58A6-3C26-446E-826D-E93DAA9E3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195942</xdr:colOff>
      <xdr:row>0</xdr:row>
      <xdr:rowOff>0</xdr:rowOff>
    </xdr:from>
    <xdr:to>
      <xdr:col>9</xdr:col>
      <xdr:colOff>653142</xdr:colOff>
      <xdr:row>15</xdr:row>
      <xdr:rowOff>48986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79C6307-2D8F-4C1F-AEE7-100E85AFA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337457</xdr:colOff>
      <xdr:row>0</xdr:row>
      <xdr:rowOff>0</xdr:rowOff>
    </xdr:from>
    <xdr:to>
      <xdr:col>11</xdr:col>
      <xdr:colOff>54429</xdr:colOff>
      <xdr:row>18</xdr:row>
      <xdr:rowOff>43543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0AC13C5-2689-42A1-8D11-D340B4251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AFAFA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4DA0-E1D8-4231-9D1D-C1379F52C19D}">
  <dimension ref="B2:C22"/>
  <sheetViews>
    <sheetView zoomScale="190" zoomScaleNormal="190" workbookViewId="0">
      <selection activeCell="C4" sqref="C4"/>
    </sheetView>
  </sheetViews>
  <sheetFormatPr defaultRowHeight="14.25" x14ac:dyDescent="0.2"/>
  <sheetData>
    <row r="2" spans="2:3" x14ac:dyDescent="0.2">
      <c r="B2" t="s">
        <v>0</v>
      </c>
      <c r="C2" t="s">
        <v>1</v>
      </c>
    </row>
    <row r="3" spans="2:3" x14ac:dyDescent="0.2">
      <c r="B3">
        <v>0.1</v>
      </c>
      <c r="C3">
        <v>0.1</v>
      </c>
    </row>
    <row r="4" spans="2:3" x14ac:dyDescent="0.2">
      <c r="B4">
        <v>0.2</v>
      </c>
      <c r="C4">
        <v>0.19900000000000001</v>
      </c>
    </row>
    <row r="5" spans="2:3" x14ac:dyDescent="0.2">
      <c r="B5">
        <v>0.3</v>
      </c>
      <c r="C5">
        <v>0.29899999999999999</v>
      </c>
    </row>
    <row r="6" spans="2:3" x14ac:dyDescent="0.2">
      <c r="B6">
        <v>0.4</v>
      </c>
      <c r="C6">
        <v>0.39800000000000002</v>
      </c>
    </row>
    <row r="7" spans="2:3" x14ac:dyDescent="0.2">
      <c r="B7">
        <v>0.5</v>
      </c>
      <c r="C7">
        <v>0.498</v>
      </c>
    </row>
    <row r="8" spans="2:3" x14ac:dyDescent="0.2">
      <c r="B8">
        <v>0.6</v>
      </c>
      <c r="C8">
        <v>0.59750000000000003</v>
      </c>
    </row>
    <row r="9" spans="2:3" x14ac:dyDescent="0.2">
      <c r="B9">
        <v>0.7</v>
      </c>
      <c r="C9">
        <v>0.69699999999999995</v>
      </c>
    </row>
    <row r="10" spans="2:3" x14ac:dyDescent="0.2">
      <c r="B10">
        <v>0.8</v>
      </c>
      <c r="C10">
        <v>0.79400000000000004</v>
      </c>
    </row>
    <row r="11" spans="2:3" x14ac:dyDescent="0.2">
      <c r="B11">
        <v>0.9</v>
      </c>
      <c r="C11">
        <v>0.89100000000000001</v>
      </c>
    </row>
    <row r="12" spans="2:3" x14ac:dyDescent="0.2">
      <c r="B12">
        <v>1</v>
      </c>
    </row>
    <row r="13" spans="2:3" x14ac:dyDescent="0.2">
      <c r="B13">
        <v>1.1000000000000001</v>
      </c>
    </row>
    <row r="14" spans="2:3" x14ac:dyDescent="0.2">
      <c r="B14">
        <v>1.2</v>
      </c>
    </row>
    <row r="15" spans="2:3" x14ac:dyDescent="0.2">
      <c r="B15">
        <v>1.3</v>
      </c>
    </row>
    <row r="16" spans="2:3" x14ac:dyDescent="0.2">
      <c r="B16">
        <v>1.4</v>
      </c>
    </row>
    <row r="17" spans="2:3" x14ac:dyDescent="0.2">
      <c r="B17">
        <v>1.5</v>
      </c>
      <c r="C17">
        <v>1.472</v>
      </c>
    </row>
    <row r="18" spans="2:3" x14ac:dyDescent="0.2">
      <c r="B18">
        <v>1.6</v>
      </c>
      <c r="C18">
        <v>1.569</v>
      </c>
    </row>
    <row r="19" spans="2:3" x14ac:dyDescent="0.2">
      <c r="B19">
        <v>1.7</v>
      </c>
      <c r="C19">
        <v>1.6659999999999999</v>
      </c>
    </row>
    <row r="20" spans="2:3" x14ac:dyDescent="0.2">
      <c r="B20">
        <v>1.8</v>
      </c>
      <c r="C20">
        <v>1.762</v>
      </c>
    </row>
    <row r="21" spans="2:3" x14ac:dyDescent="0.2">
      <c r="B21">
        <v>1.9</v>
      </c>
      <c r="C21">
        <v>1.859</v>
      </c>
    </row>
    <row r="22" spans="2:3" x14ac:dyDescent="0.2">
      <c r="B22">
        <v>2</v>
      </c>
      <c r="C22">
        <v>1.956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90ED-EF7A-4897-BE4F-5C24BBD86286}">
  <dimension ref="A2:C10"/>
  <sheetViews>
    <sheetView tabSelected="1" zoomScale="205" zoomScaleNormal="205" workbookViewId="0">
      <selection activeCell="B7" sqref="B7"/>
    </sheetView>
  </sheetViews>
  <sheetFormatPr defaultRowHeight="14.25" x14ac:dyDescent="0.2"/>
  <sheetData>
    <row r="2" spans="1:3" x14ac:dyDescent="0.2">
      <c r="B2" t="s">
        <v>1</v>
      </c>
      <c r="C2" t="s">
        <v>2</v>
      </c>
    </row>
    <row r="3" spans="1:3" x14ac:dyDescent="0.2">
      <c r="A3">
        <v>0.1</v>
      </c>
      <c r="B3">
        <v>0.1</v>
      </c>
      <c r="C3">
        <v>1.03</v>
      </c>
    </row>
    <row r="4" spans="1:3" x14ac:dyDescent="0.2">
      <c r="A4">
        <v>0.12</v>
      </c>
      <c r="B4">
        <f>0.975*A4+0.0088</f>
        <v>0.1258</v>
      </c>
      <c r="C4">
        <v>1.37</v>
      </c>
    </row>
    <row r="5" spans="1:3" x14ac:dyDescent="0.2">
      <c r="A5">
        <v>0.15</v>
      </c>
      <c r="B5">
        <f>0.975*A5+0.0088</f>
        <v>0.15504999999999999</v>
      </c>
      <c r="C5">
        <v>1.86</v>
      </c>
    </row>
    <row r="6" spans="1:3" x14ac:dyDescent="0.2">
      <c r="A6">
        <v>0.18</v>
      </c>
      <c r="B6">
        <f>0.975*A6+0.0088</f>
        <v>0.18429999999999999</v>
      </c>
      <c r="C6">
        <v>2.36</v>
      </c>
    </row>
    <row r="7" spans="1:3" x14ac:dyDescent="0.2">
      <c r="A7">
        <v>0.2</v>
      </c>
      <c r="B7">
        <f t="shared" ref="B4:B10" si="0">0.975*A7+0.0088</f>
        <v>0.20380000000000001</v>
      </c>
      <c r="C7">
        <v>2.69</v>
      </c>
    </row>
    <row r="8" spans="1:3" x14ac:dyDescent="0.2">
      <c r="A8">
        <v>0.23</v>
      </c>
      <c r="B8">
        <f t="shared" si="0"/>
        <v>0.23305000000000001</v>
      </c>
      <c r="C8">
        <v>3.15</v>
      </c>
    </row>
    <row r="9" spans="1:3" x14ac:dyDescent="0.2">
      <c r="A9">
        <v>0.26</v>
      </c>
      <c r="B9">
        <f t="shared" si="0"/>
        <v>0.26229999999999998</v>
      </c>
      <c r="C9">
        <v>3.62</v>
      </c>
    </row>
    <row r="10" spans="1:3" x14ac:dyDescent="0.2">
      <c r="A10">
        <v>0.3</v>
      </c>
      <c r="B10">
        <f t="shared" si="0"/>
        <v>0.30129999999999996</v>
      </c>
      <c r="C10">
        <v>4.12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57CF-7E40-4C4B-A2FB-36D86EB7AF0C}">
  <dimension ref="B2:C7"/>
  <sheetViews>
    <sheetView zoomScale="175" zoomScaleNormal="175" workbookViewId="0">
      <selection activeCell="C9" sqref="C9"/>
    </sheetView>
  </sheetViews>
  <sheetFormatPr defaultRowHeight="14.25" x14ac:dyDescent="0.2"/>
  <cols>
    <col min="2" max="3" width="10.25" bestFit="1" customWidth="1"/>
  </cols>
  <sheetData>
    <row r="2" spans="2:3" x14ac:dyDescent="0.2">
      <c r="B2" t="s">
        <v>3</v>
      </c>
      <c r="C2" t="s">
        <v>4</v>
      </c>
    </row>
    <row r="3" spans="2:3" x14ac:dyDescent="0.2">
      <c r="B3">
        <v>0.873</v>
      </c>
      <c r="C3">
        <v>0.77</v>
      </c>
    </row>
    <row r="4" spans="2:3" x14ac:dyDescent="0.2">
      <c r="B4">
        <v>1.831</v>
      </c>
      <c r="C4">
        <v>1.72</v>
      </c>
    </row>
    <row r="5" spans="2:3" x14ac:dyDescent="0.2">
      <c r="B5">
        <v>2.577</v>
      </c>
      <c r="C5">
        <v>2.46</v>
      </c>
    </row>
    <row r="6" spans="2:3" x14ac:dyDescent="0.2">
      <c r="B6">
        <v>2.96</v>
      </c>
      <c r="C6">
        <v>2.84</v>
      </c>
    </row>
    <row r="7" spans="2:3" x14ac:dyDescent="0.2">
      <c r="B7">
        <v>3.6509999999999998</v>
      </c>
      <c r="C7">
        <v>3.5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708C-D311-4F94-8B6E-8B65CA91A526}">
  <dimension ref="B2:C11"/>
  <sheetViews>
    <sheetView zoomScale="175" zoomScaleNormal="175" workbookViewId="0">
      <selection activeCell="C14" sqref="C14"/>
    </sheetView>
  </sheetViews>
  <sheetFormatPr defaultRowHeight="14.25" x14ac:dyDescent="0.2"/>
  <cols>
    <col min="2" max="3" width="11" bestFit="1" customWidth="1"/>
  </cols>
  <sheetData>
    <row r="2" spans="2:3" x14ac:dyDescent="0.2">
      <c r="B2" t="s">
        <v>7</v>
      </c>
      <c r="C2" t="s">
        <v>8</v>
      </c>
    </row>
    <row r="3" spans="2:3" x14ac:dyDescent="0.2">
      <c r="B3">
        <v>26</v>
      </c>
      <c r="C3">
        <v>23.31</v>
      </c>
    </row>
    <row r="4" spans="2:3" x14ac:dyDescent="0.2">
      <c r="B4">
        <v>25.9</v>
      </c>
      <c r="C4">
        <v>23.25</v>
      </c>
    </row>
    <row r="5" spans="2:3" x14ac:dyDescent="0.2">
      <c r="B5">
        <v>25.6</v>
      </c>
      <c r="C5">
        <v>23.07</v>
      </c>
    </row>
    <row r="6" spans="2:3" x14ac:dyDescent="0.2">
      <c r="B6">
        <v>25</v>
      </c>
      <c r="C6">
        <v>22.7</v>
      </c>
    </row>
    <row r="7" spans="2:3" x14ac:dyDescent="0.2">
      <c r="B7">
        <v>24.5</v>
      </c>
      <c r="C7">
        <v>22.38</v>
      </c>
    </row>
    <row r="8" spans="2:3" x14ac:dyDescent="0.2">
      <c r="B8">
        <v>24</v>
      </c>
      <c r="C8">
        <v>22.05</v>
      </c>
    </row>
    <row r="9" spans="2:3" x14ac:dyDescent="0.2">
      <c r="B9">
        <v>23.5</v>
      </c>
      <c r="C9">
        <v>21.71</v>
      </c>
    </row>
    <row r="10" spans="2:3" x14ac:dyDescent="0.2">
      <c r="B10">
        <v>23</v>
      </c>
      <c r="C10">
        <v>21.35</v>
      </c>
    </row>
    <row r="11" spans="2:3" x14ac:dyDescent="0.2">
      <c r="B11">
        <v>22.5</v>
      </c>
      <c r="C11">
        <v>20.99</v>
      </c>
    </row>
  </sheetData>
  <sortState xmlns:xlrd2="http://schemas.microsoft.com/office/spreadsheetml/2017/richdata2" ref="B3:C6">
    <sortCondition ref="B3:B6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0C1F-1E11-4054-AA59-B277C56DC20A}">
  <dimension ref="B2:C17"/>
  <sheetViews>
    <sheetView zoomScale="175" zoomScaleNormal="175" workbookViewId="0">
      <selection activeCell="C18" sqref="C18"/>
    </sheetView>
  </sheetViews>
  <sheetFormatPr defaultRowHeight="14.25" x14ac:dyDescent="0.2"/>
  <cols>
    <col min="2" max="3" width="12.625" bestFit="1" customWidth="1"/>
  </cols>
  <sheetData>
    <row r="2" spans="2:3" x14ac:dyDescent="0.2">
      <c r="B2" t="s">
        <v>5</v>
      </c>
      <c r="C2" t="s">
        <v>6</v>
      </c>
    </row>
    <row r="3" spans="2:3" x14ac:dyDescent="0.2">
      <c r="B3">
        <v>2</v>
      </c>
      <c r="C3">
        <v>1.51</v>
      </c>
    </row>
    <row r="4" spans="2:3" x14ac:dyDescent="0.2">
      <c r="B4">
        <v>4</v>
      </c>
      <c r="C4">
        <v>3.45</v>
      </c>
    </row>
    <row r="5" spans="2:3" x14ac:dyDescent="0.2">
      <c r="B5">
        <v>6</v>
      </c>
      <c r="C5">
        <v>5.39</v>
      </c>
    </row>
    <row r="6" spans="2:3" x14ac:dyDescent="0.2">
      <c r="B6">
        <v>8</v>
      </c>
      <c r="C6">
        <v>7.32</v>
      </c>
    </row>
    <row r="7" spans="2:3" x14ac:dyDescent="0.2">
      <c r="B7">
        <v>10</v>
      </c>
      <c r="C7">
        <v>9.25</v>
      </c>
    </row>
    <row r="8" spans="2:3" x14ac:dyDescent="0.2">
      <c r="B8">
        <v>12</v>
      </c>
      <c r="C8">
        <v>11.18</v>
      </c>
    </row>
    <row r="9" spans="2:3" x14ac:dyDescent="0.2">
      <c r="B9">
        <v>14</v>
      </c>
      <c r="C9">
        <v>13.1</v>
      </c>
    </row>
    <row r="10" spans="2:3" x14ac:dyDescent="0.2">
      <c r="B10">
        <v>16</v>
      </c>
      <c r="C10">
        <v>15.01</v>
      </c>
    </row>
    <row r="11" spans="2:3" x14ac:dyDescent="0.2">
      <c r="B11">
        <v>18</v>
      </c>
      <c r="C11">
        <v>16.899999999999999</v>
      </c>
    </row>
    <row r="12" spans="2:3" x14ac:dyDescent="0.2">
      <c r="B12">
        <v>20</v>
      </c>
      <c r="C12">
        <v>18.809999999999999</v>
      </c>
    </row>
    <row r="13" spans="2:3" x14ac:dyDescent="0.2">
      <c r="B13">
        <v>22</v>
      </c>
      <c r="C13">
        <v>20.69</v>
      </c>
    </row>
    <row r="14" spans="2:3" x14ac:dyDescent="0.2">
      <c r="B14">
        <v>24</v>
      </c>
      <c r="C14">
        <v>22.57</v>
      </c>
    </row>
    <row r="15" spans="2:3" x14ac:dyDescent="0.2">
      <c r="B15">
        <v>26</v>
      </c>
      <c r="C15">
        <v>24.42</v>
      </c>
    </row>
    <row r="16" spans="2:3" x14ac:dyDescent="0.2">
      <c r="B16">
        <v>28</v>
      </c>
      <c r="C16">
        <v>26.26</v>
      </c>
    </row>
    <row r="17" spans="2:3" x14ac:dyDescent="0.2">
      <c r="B17">
        <v>30</v>
      </c>
      <c r="C17">
        <v>28.06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DAC电压标定</vt:lpstr>
      <vt:lpstr>充电模块DAC电流设定标定</vt:lpstr>
      <vt:lpstr>I_IN标定</vt:lpstr>
      <vt:lpstr>V_IN标定</vt:lpstr>
      <vt:lpstr>V_CAP标定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2020-12-05T06:09:55Z</dcterms:created>
  <dcterms:modified xsi:type="dcterms:W3CDTF">2021-04-01T13:16:22Z</dcterms:modified>
</cp:coreProperties>
</file>